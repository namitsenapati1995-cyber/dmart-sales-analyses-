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4568FF22-099A-4287-BA05-DCDBC7CCCA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ic Pay" sheetId="1" r:id="rId1"/>
    <sheet name="HRA" sheetId="2" r:id="rId2"/>
    <sheet name="DA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13" i="4"/>
  <c r="F14" i="4"/>
  <c r="F15" i="4"/>
  <c r="F6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<sst xmlns="http://schemas.openxmlformats.org/spreadsheetml/2006/main" count="56" uniqueCount="19">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</sst>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B3" sqref="B3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0</v>
      </c>
      <c r="C3" s="4"/>
      <c r="D3" s="4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G7" sqref="G7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13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6">
        <f>('Basic Pay'!D5+DA!D5)*50%</f>
        <v>2520</v>
      </c>
    </row>
    <row r="6" spans="2:4" x14ac:dyDescent="0.25">
      <c r="B6" s="1">
        <v>5003</v>
      </c>
      <c r="C6" s="1" t="s">
        <v>4</v>
      </c>
      <c r="D6" s="6">
        <f>('Basic Pay'!D6+DA!D6)*50%</f>
        <v>1400</v>
      </c>
    </row>
    <row r="7" spans="2:4" x14ac:dyDescent="0.25">
      <c r="B7" s="1">
        <v>5098</v>
      </c>
      <c r="C7" s="1" t="s">
        <v>5</v>
      </c>
      <c r="D7" s="6">
        <f>('Basic Pay'!D7+DA!D7)*50%</f>
        <v>2520</v>
      </c>
    </row>
    <row r="8" spans="2:4" x14ac:dyDescent="0.25">
      <c r="B8" s="1">
        <v>5689</v>
      </c>
      <c r="C8" s="1" t="s">
        <v>6</v>
      </c>
      <c r="D8" s="6">
        <f>('Basic Pay'!D8+DA!D8)*50%</f>
        <v>1792</v>
      </c>
    </row>
    <row r="9" spans="2:4" x14ac:dyDescent="0.25">
      <c r="B9" s="1">
        <v>5764</v>
      </c>
      <c r="C9" s="1" t="s">
        <v>7</v>
      </c>
      <c r="D9" s="6">
        <f>('Basic Pay'!D9+DA!D9)*50%</f>
        <v>684.88</v>
      </c>
    </row>
    <row r="10" spans="2:4" x14ac:dyDescent="0.25">
      <c r="B10" s="1">
        <v>5091</v>
      </c>
      <c r="C10" s="1" t="s">
        <v>8</v>
      </c>
      <c r="D10" s="6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6">
        <f>('Basic Pay'!D11+DA!D11)*50%</f>
        <v>3640</v>
      </c>
    </row>
    <row r="12" spans="2:4" x14ac:dyDescent="0.25">
      <c r="B12" s="1">
        <v>5901</v>
      </c>
      <c r="C12" s="1" t="s">
        <v>10</v>
      </c>
      <c r="D12" s="6">
        <f>('Basic Pay'!D12+DA!D12)*50%</f>
        <v>3068.24</v>
      </c>
    </row>
    <row r="13" spans="2:4" x14ac:dyDescent="0.25">
      <c r="B13" s="1">
        <v>5764</v>
      </c>
      <c r="C13" s="1" t="s">
        <v>11</v>
      </c>
      <c r="D13" s="6">
        <f>('Basic Pay'!D13+DA!D13)*50%</f>
        <v>1935.36</v>
      </c>
    </row>
    <row r="14" spans="2:4" x14ac:dyDescent="0.25">
      <c r="B14" s="1">
        <v>5555</v>
      </c>
      <c r="C14" s="1" t="s">
        <v>12</v>
      </c>
      <c r="D14" s="6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16</v>
      </c>
      <c r="C3" s="3"/>
      <c r="D3" s="3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6">
        <f>'Basic Pay'!D5*12%</f>
        <v>540</v>
      </c>
    </row>
    <row r="6" spans="2:4" x14ac:dyDescent="0.25">
      <c r="B6" s="1">
        <v>5003</v>
      </c>
      <c r="C6" s="1" t="s">
        <v>4</v>
      </c>
      <c r="D6" s="6">
        <f>'Basic Pay'!D6*12%</f>
        <v>300</v>
      </c>
    </row>
    <row r="7" spans="2:4" x14ac:dyDescent="0.25">
      <c r="B7" s="1">
        <v>5098</v>
      </c>
      <c r="C7" s="1" t="s">
        <v>5</v>
      </c>
      <c r="D7" s="6">
        <f>'Basic Pay'!D7*12%</f>
        <v>540</v>
      </c>
    </row>
    <row r="8" spans="2:4" x14ac:dyDescent="0.25">
      <c r="B8" s="1">
        <v>5689</v>
      </c>
      <c r="C8" s="1" t="s">
        <v>6</v>
      </c>
      <c r="D8" s="6">
        <f>'Basic Pay'!D8*12%</f>
        <v>384</v>
      </c>
    </row>
    <row r="9" spans="2:4" x14ac:dyDescent="0.25">
      <c r="B9" s="1">
        <v>5764</v>
      </c>
      <c r="C9" s="1" t="s">
        <v>7</v>
      </c>
      <c r="D9" s="6">
        <f>'Basic Pay'!D9*12%</f>
        <v>146.76</v>
      </c>
    </row>
    <row r="10" spans="2:4" x14ac:dyDescent="0.25">
      <c r="B10" s="1">
        <v>5091</v>
      </c>
      <c r="C10" s="1" t="s">
        <v>8</v>
      </c>
      <c r="D10" s="6">
        <f>'Basic Pay'!D10*12%</f>
        <v>946.8</v>
      </c>
    </row>
    <row r="11" spans="2:4" x14ac:dyDescent="0.25">
      <c r="B11" s="1">
        <v>5673</v>
      </c>
      <c r="C11" s="1" t="s">
        <v>9</v>
      </c>
      <c r="D11" s="6">
        <f>'Basic Pay'!D11*12%</f>
        <v>780</v>
      </c>
    </row>
    <row r="12" spans="2:4" x14ac:dyDescent="0.25">
      <c r="B12" s="1">
        <v>5901</v>
      </c>
      <c r="C12" s="1" t="s">
        <v>10</v>
      </c>
      <c r="D12" s="6">
        <f>'Basic Pay'!D12*12%</f>
        <v>657.48</v>
      </c>
    </row>
    <row r="13" spans="2:4" x14ac:dyDescent="0.25">
      <c r="B13" s="1">
        <v>5764</v>
      </c>
      <c r="C13" s="1" t="s">
        <v>11</v>
      </c>
      <c r="D13" s="6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6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57B6-E5B0-4CE8-BC72-668D84B1900B}">
  <dimension ref="D4:F15"/>
  <sheetViews>
    <sheetView tabSelected="1" workbookViewId="0">
      <selection activeCell="I9" sqref="I9"/>
    </sheetView>
  </sheetViews>
  <sheetFormatPr defaultRowHeight="13.2" x14ac:dyDescent="0.25"/>
  <cols>
    <col min="4" max="4" width="7.5546875" bestFit="1" customWidth="1"/>
    <col min="5" max="5" width="10.33203125" bestFit="1" customWidth="1"/>
    <col min="6" max="6" width="14.5546875" bestFit="1" customWidth="1"/>
  </cols>
  <sheetData>
    <row r="4" spans="4:6" x14ac:dyDescent="0.25">
      <c r="D4" s="4" t="s">
        <v>0</v>
      </c>
      <c r="E4" s="4"/>
      <c r="F4" s="4"/>
    </row>
    <row r="5" spans="4:6" x14ac:dyDescent="0.25">
      <c r="D5" s="2" t="s">
        <v>2</v>
      </c>
      <c r="E5" s="2" t="s">
        <v>1</v>
      </c>
      <c r="F5" s="2" t="s">
        <v>18</v>
      </c>
    </row>
    <row r="6" spans="4:6" x14ac:dyDescent="0.25">
      <c r="D6" s="2">
        <v>5001</v>
      </c>
      <c r="E6" s="2" t="s">
        <v>3</v>
      </c>
      <c r="F6" s="7">
        <f>'Basic Pay'!D5+HRA!D5+DA!D5</f>
        <v>7560</v>
      </c>
    </row>
    <row r="7" spans="4:6" x14ac:dyDescent="0.25">
      <c r="D7" s="2">
        <v>5003</v>
      </c>
      <c r="E7" s="2" t="s">
        <v>4</v>
      </c>
      <c r="F7" s="7">
        <f>'Basic Pay'!D6+HRA!D6+DA!D6</f>
        <v>4200</v>
      </c>
    </row>
    <row r="8" spans="4:6" x14ac:dyDescent="0.25">
      <c r="D8" s="2">
        <v>5098</v>
      </c>
      <c r="E8" s="2" t="s">
        <v>5</v>
      </c>
      <c r="F8" s="7">
        <f>'Basic Pay'!D7+HRA!D7+DA!D7</f>
        <v>7560</v>
      </c>
    </row>
    <row r="9" spans="4:6" x14ac:dyDescent="0.25">
      <c r="D9" s="2">
        <v>5689</v>
      </c>
      <c r="E9" s="2" t="s">
        <v>6</v>
      </c>
      <c r="F9" s="7">
        <f>'Basic Pay'!D8+HRA!D8+DA!D8</f>
        <v>5376</v>
      </c>
    </row>
    <row r="10" spans="4:6" x14ac:dyDescent="0.25">
      <c r="D10" s="2">
        <v>5764</v>
      </c>
      <c r="E10" s="2" t="s">
        <v>7</v>
      </c>
      <c r="F10" s="7">
        <f>'Basic Pay'!D9+HRA!D9+DA!D9</f>
        <v>2054.6400000000003</v>
      </c>
    </row>
    <row r="11" spans="4:6" x14ac:dyDescent="0.25">
      <c r="D11" s="2">
        <v>5091</v>
      </c>
      <c r="E11" s="2" t="s">
        <v>8</v>
      </c>
      <c r="F11" s="7">
        <f>'Basic Pay'!D10+HRA!D10+DA!D10</f>
        <v>13255.199999999999</v>
      </c>
    </row>
    <row r="12" spans="4:6" x14ac:dyDescent="0.25">
      <c r="D12" s="2">
        <v>5673</v>
      </c>
      <c r="E12" s="2" t="s">
        <v>9</v>
      </c>
      <c r="F12" s="7">
        <f>'Basic Pay'!D11+HRA!D11+DA!D11</f>
        <v>10920</v>
      </c>
    </row>
    <row r="13" spans="4:6" x14ac:dyDescent="0.25">
      <c r="D13" s="2">
        <v>5901</v>
      </c>
      <c r="E13" s="2" t="s">
        <v>10</v>
      </c>
      <c r="F13" s="7">
        <f>'Basic Pay'!D12+HRA!D12+DA!D12</f>
        <v>9204.7199999999993</v>
      </c>
    </row>
    <row r="14" spans="4:6" x14ac:dyDescent="0.25">
      <c r="D14" s="2">
        <v>5764</v>
      </c>
      <c r="E14" s="2" t="s">
        <v>11</v>
      </c>
      <c r="F14" s="7">
        <f>'Basic Pay'!D13+HRA!D13+DA!D13</f>
        <v>5806.08</v>
      </c>
    </row>
    <row r="15" spans="4:6" x14ac:dyDescent="0.25">
      <c r="D15" s="2">
        <v>5555</v>
      </c>
      <c r="E15" s="2" t="s">
        <v>12</v>
      </c>
      <c r="F15" s="7">
        <f>'Basic Pay'!D14+HRA!D14+DA!D14</f>
        <v>2016</v>
      </c>
    </row>
  </sheetData>
  <mergeCells count="1"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Sheet1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Nimit Senapati</cp:lastModifiedBy>
  <dcterms:created xsi:type="dcterms:W3CDTF">2007-12-11T14:17:32Z</dcterms:created>
  <dcterms:modified xsi:type="dcterms:W3CDTF">2026-10-24T13:40:57Z</dcterms:modified>
</cp:coreProperties>
</file>